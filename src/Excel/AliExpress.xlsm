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Gerard\Repositories\Github\AliexpressOrdersManager\src\Excel\"/>
    </mc:Choice>
  </mc:AlternateContent>
  <xr:revisionPtr revIDLastSave="0" documentId="13_ncr:1_{EAB63AB7-E332-4DD0-B3F5-F8B54DED086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Orders" sheetId="2" r:id="rId1"/>
    <sheet name="MACRO" sheetId="12" r:id="rId2"/>
    <sheet name="bins" sheetId="13" r:id="rId3"/>
    <sheet name="exclude" sheetId="15" r:id="rId4"/>
    <sheet name="pictures" sheetId="14" r:id="rId5"/>
    <sheet name="helpsheet" sheetId="10" r:id="rId6"/>
  </sheets>
  <functionGroups builtInGroupCount="19"/>
  <definedNames>
    <definedName name="_xlnm._FilterDatabase" localSheetId="2" hidden="1">bins!$A$4:$E$6</definedName>
    <definedName name="_xlnm._FilterDatabase" localSheetId="0" hidden="1">Orders!$A$1:$AJ$3</definedName>
  </definedNames>
  <calcPr calcId="191029"/>
</workbook>
</file>

<file path=xl/calcChain.xml><?xml version="1.0" encoding="utf-8"?>
<calcChain xmlns="http://schemas.openxmlformats.org/spreadsheetml/2006/main">
  <c r="U3" i="2" l="1"/>
  <c r="U2" i="2"/>
  <c r="X2" i="2"/>
  <c r="AD2" i="2"/>
  <c r="AJ3" i="2" l="1"/>
  <c r="AI3" i="2"/>
  <c r="AG3" i="2"/>
  <c r="AF3" i="2"/>
  <c r="AE3" i="2"/>
  <c r="AC3" i="2"/>
  <c r="AB3" i="2"/>
  <c r="AA3" i="2"/>
  <c r="Z3" i="2"/>
  <c r="X3" i="2"/>
  <c r="Y3" i="2" s="1"/>
  <c r="W3" i="2"/>
  <c r="AJ2" i="2"/>
  <c r="AI2" i="2"/>
  <c r="AG2" i="2"/>
  <c r="AF2" i="2"/>
  <c r="AE2" i="2"/>
  <c r="AC2" i="2"/>
  <c r="AB2" i="2"/>
  <c r="AA2" i="2"/>
  <c r="Z2" i="2"/>
  <c r="Y2" i="2"/>
  <c r="W2" i="2"/>
  <c r="AH2" i="2"/>
  <c r="AD3" i="2"/>
  <c r="AH3" i="2"/>
  <c r="V2" i="2" l="1"/>
  <c r="V3" i="2"/>
  <c r="D5" i="13" l="1"/>
  <c r="C5" i="13"/>
  <c r="C6" i="13"/>
  <c r="D6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- -</author>
  </authors>
  <commentList>
    <comment ref="U1" authorId="0" shapeId="0" xr:uid="{FDDB02F1-454D-41BB-813E-BD156CE5F807}">
      <text>
        <r>
          <rPr>
            <b/>
            <sz val="9"/>
            <color indexed="81"/>
            <rFont val="Tahoma"/>
            <family val="2"/>
          </rPr>
          <t xml:space="preserve">Include order that need to arrive (you don't want to loose sight).
Exclude if order_id is in exclude list or order was cancelled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<sst xmlns="http://schemas.openxmlformats.org/spreadsheetml/2006/main" count="103" uniqueCount="92">
  <si>
    <t>Awaiting delivery</t>
  </si>
  <si>
    <t>Finished</t>
  </si>
  <si>
    <t>order_id</t>
  </si>
  <si>
    <t>item_num</t>
  </si>
  <si>
    <t>order_status</t>
  </si>
  <si>
    <t>item_amount</t>
  </si>
  <si>
    <t>order_date</t>
  </si>
  <si>
    <t>html string</t>
  </si>
  <si>
    <t>orderid</t>
  </si>
  <si>
    <t>image</t>
  </si>
  <si>
    <t>item price</t>
  </si>
  <si>
    <t>description</t>
  </si>
  <si>
    <t>order amount</t>
  </si>
  <si>
    <t>Confirmation Received</t>
  </si>
  <si>
    <t>&lt;td&gt;Awaiting Shipment&lt;/td&gt;</t>
  </si>
  <si>
    <t>&lt;td&gt;Awaiting delivery&lt;/td&gt;</t>
  </si>
  <si>
    <t>&lt;td&gt;Fund Processing&lt;/td&gt;</t>
  </si>
  <si>
    <t>&lt;td&gt;Finished&lt;/td&gt;</t>
  </si>
  <si>
    <t>&lt;td&gt;Finished dispute&lt;/td&gt;</t>
  </si>
  <si>
    <t>&lt;td class='text-warning'&gt;</t>
  </si>
  <si>
    <t>&lt;td class='text-info'&gt;</t>
  </si>
  <si>
    <t>&lt;td class='text-success'&gt;</t>
  </si>
  <si>
    <t>&lt;td class='text-secondary'&gt;</t>
  </si>
  <si>
    <t>order_detail_url</t>
  </si>
  <si>
    <t>order_amount</t>
  </si>
  <si>
    <t>store_name</t>
  </si>
  <si>
    <t>order_time</t>
  </si>
  <si>
    <t>store_url</t>
  </si>
  <si>
    <t>hasTracking</t>
  </si>
  <si>
    <t>order_product_num</t>
  </si>
  <si>
    <t>product_id</t>
  </si>
  <si>
    <t>product_title</t>
  </si>
  <si>
    <t>product_skuid</t>
  </si>
  <si>
    <t>product_property</t>
  </si>
  <si>
    <t>product_count</t>
  </si>
  <si>
    <t>product_price</t>
  </si>
  <si>
    <t>product_action</t>
  </si>
  <si>
    <t>product_url</t>
  </si>
  <si>
    <t>product_pic_url</t>
  </si>
  <si>
    <t>product_snapshot</t>
  </si>
  <si>
    <t>https://www.aliexpress.com/store/1962508</t>
  </si>
  <si>
    <t>Amount</t>
  </si>
  <si>
    <t>bin</t>
  </si>
  <si>
    <t>product id</t>
  </si>
  <si>
    <t>&lt;td&gt;Closed&lt;/td&gt;</t>
  </si>
  <si>
    <t>Date</t>
  </si>
  <si>
    <t>Row</t>
  </si>
  <si>
    <t>&lt;td&gt;Payment being verified&lt;/td&gt;</t>
  </si>
  <si>
    <t>WAVGAT Official Store</t>
  </si>
  <si>
    <t>32812476561</t>
  </si>
  <si>
    <t>20pcs/lot New Micro Roller Lever Arm Normally Open Close Limit Switch KW12-3 Free Shipping</t>
  </si>
  <si>
    <t>https://www.aliexpress.com/item/20pcs-lot-New-Micro-Roller-Lever-Arm-Normally-Open-Close-Limit-Switch-KW12-3-Free-Shipping/32812476561.html</t>
  </si>
  <si>
    <t>https://ae01.alicdn.com/kf/Uf709572681cd4e4a8ca5f2b5bc119daeQ.jpg_50x50.jpg</t>
  </si>
  <si>
    <t>3005985118762855</t>
  </si>
  <si>
    <t>https://www.aliexpress.com/snapshot/0.html?orderId=3005985118772855&amp;productId=32812476561</t>
  </si>
  <si>
    <t>https://trade.aliexpress.com/order_detail.htm?orderId=3005985118762855</t>
  </si>
  <si>
    <t>BIG TREE TECH Store</t>
  </si>
  <si>
    <t>https://www.aliexpress.com/store/718232</t>
  </si>
  <si>
    <t>32965199683</t>
  </si>
  <si>
    <t>3D Printer Parts A4988 DRV8825 Stepper Motor Driver With Heat sink For SKR V1.3 1.4 GTR V1.0 RAMPS 1.4 1.6 MKS GEN V1.4 board</t>
  </si>
  <si>
    <t>sku_3006227000772855_201336455_self</t>
  </si>
  <si>
    <t>A4988 Red</t>
  </si>
  <si>
    <t>https://www.aliexpress.com/item/3D-Printer-Parts-A4988-DRV8825-Stepper-Motor-Driver-With-Heat-sink-For-SKR-V1-3-1/32965199683.html</t>
  </si>
  <si>
    <t>https://ae01.alicdn.com/kf/Ue25e39036d674453b2b888bea6e03e55S.jpg_50x50.jpg</t>
  </si>
  <si>
    <t>https://www.aliexpress.com/snapshot/0.html?orderId=3006227000772855&amp;productId=32965199683</t>
  </si>
  <si>
    <t>https://trade.aliexpress.com/order_detail.htm?orderId=3006227000762855</t>
  </si>
  <si>
    <t>ALIHTML</t>
  </si>
  <si>
    <t>W:\aliorders.html</t>
  </si>
  <si>
    <t>https://xxxx.org/aliorders.html</t>
  </si>
  <si>
    <t>URL to reach file via website</t>
  </si>
  <si>
    <t>HTML file</t>
  </si>
  <si>
    <t>IMAGEDIR</t>
  </si>
  <si>
    <t>Main directory to cache aliexpress product images</t>
  </si>
  <si>
    <t>Configuration</t>
  </si>
  <si>
    <t>Do not move cells</t>
  </si>
  <si>
    <t>Extra</t>
  </si>
  <si>
    <t>Simple inventory bin system</t>
  </si>
  <si>
    <t>Add product_id in column A en copy formulas in column C/D. Enter your bin info in column B to be shown at the webpage</t>
  </si>
  <si>
    <t>Exclude orders from the export (p.e. not arrived or bought for others)</t>
  </si>
  <si>
    <t>Add order_id in column A to exclude the orderline from export to the html page. Add info to your convenience. Like column B: date, column C: amount, column D: reason (not arrived, bought for others, etc)</t>
  </si>
  <si>
    <t>Reason to exclude</t>
  </si>
  <si>
    <t>ORDER_MONTH</t>
  </si>
  <si>
    <t>PRODUCT_AMOUNT</t>
  </si>
  <si>
    <t>ORDER_DIFF</t>
  </si>
  <si>
    <t>LAST_COLUMN EMPTY</t>
  </si>
  <si>
    <t>SITEURL</t>
  </si>
  <si>
    <t>NOT EXCLUDE</t>
  </si>
  <si>
    <t>3006227000741784</t>
  </si>
  <si>
    <t>Motor</t>
  </si>
  <si>
    <t>Levers</t>
  </si>
  <si>
    <t>Present for Brian</t>
  </si>
  <si>
    <t>Z:/xxx/Arduino/ali/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</si>
</sst>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€&quot;\ #,##0.00;[Red]&quot;€&quot;\ \-#,##0.00"/>
    <numFmt numFmtId="43" formatCode="_ * #,##0.00_ ;_ * \-#,##0.00_ ;_ * &quot;-&quot;??_ ;_ @_ "/>
    <numFmt numFmtId="164" formatCode="dd/mm/yyyy\ hh:mm;@"/>
    <numFmt numFmtId="165" formatCode="_ * #,##0_ ;_ * \-#,##0_ ;_ * &quot;-&quot;??_ ;_ @_ "/>
    <numFmt numFmtId="166" formatCode="dd\-mm\-yyyy\ hh:mm;@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 applyNumberFormat="1"/>
    <xf numFmtId="8" fontId="0" fillId="0" borderId="0" xfId="0" applyNumberFormat="1"/>
    <xf numFmtId="0" fontId="0" fillId="3" borderId="0" xfId="0" applyNumberFormat="1" applyFill="1"/>
    <xf numFmtId="0" fontId="0" fillId="2" borderId="0" xfId="0" applyNumberFormat="1" applyFill="1"/>
    <xf numFmtId="43" fontId="0" fillId="0" borderId="0" xfId="1" applyFont="1"/>
    <xf numFmtId="14" fontId="0" fillId="3" borderId="0" xfId="0" applyNumberFormat="1" applyFill="1" applyAlignment="1">
      <alignment horizontal="center"/>
    </xf>
    <xf numFmtId="164" fontId="0" fillId="0" borderId="0" xfId="1" applyNumberFormat="1" applyFont="1"/>
    <xf numFmtId="0" fontId="3" fillId="5" borderId="0" xfId="0" applyNumberFormat="1" applyFont="1" applyFill="1"/>
    <xf numFmtId="164" fontId="0" fillId="4" borderId="0" xfId="1" applyNumberFormat="1" applyFont="1" applyFill="1"/>
    <xf numFmtId="165" fontId="0" fillId="0" borderId="0" xfId="1" applyNumberFormat="1" applyFont="1"/>
    <xf numFmtId="49" fontId="0" fillId="0" borderId="0" xfId="0" applyNumberFormat="1"/>
    <xf numFmtId="49" fontId="0" fillId="3" borderId="0" xfId="0" applyNumberFormat="1" applyFill="1"/>
    <xf numFmtId="49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0" borderId="0" xfId="1" applyNumberFormat="1" applyFont="1"/>
    <xf numFmtId="49" fontId="0" fillId="0" borderId="0" xfId="1" applyNumberFormat="1" applyFont="1"/>
    <xf numFmtId="0" fontId="5" fillId="0" borderId="0" xfId="3" applyNumberFormat="1"/>
    <xf numFmtId="0" fontId="0" fillId="6" borderId="0" xfId="0" applyNumberFormat="1" applyFill="1"/>
    <xf numFmtId="0" fontId="0" fillId="2" borderId="0" xfId="0" applyFill="1"/>
    <xf numFmtId="0" fontId="0" fillId="0" borderId="0" xfId="0"/>
    <xf numFmtId="0" fontId="6" fillId="0" borderId="0" xfId="0" applyNumberFormat="1" applyFont="1"/>
    <xf numFmtId="0" fontId="7" fillId="0" borderId="0" xfId="0" applyNumberFormat="1" applyFont="1"/>
    <xf numFmtId="0" fontId="5" fillId="2" borderId="0" xfId="3" applyNumberFormat="1" applyFill="1"/>
    <xf numFmtId="0" fontId="6" fillId="3" borderId="0" xfId="0" applyNumberFormat="1" applyFont="1" applyFill="1"/>
    <xf numFmtId="0" fontId="0" fillId="7" borderId="0" xfId="0" applyNumberFormat="1" applyFill="1"/>
    <xf numFmtId="0" fontId="0" fillId="8" borderId="0" xfId="0" applyNumberFormat="1" applyFill="1"/>
    <xf numFmtId="43" fontId="0" fillId="3" borderId="0" xfId="1" applyFont="1" applyFill="1"/>
    <xf numFmtId="49" fontId="0" fillId="7" borderId="0" xfId="1" applyNumberFormat="1" applyFont="1" applyFill="1"/>
    <xf numFmtId="43" fontId="0" fillId="2" borderId="0" xfId="1" applyFont="1" applyFill="1"/>
    <xf numFmtId="0" fontId="6" fillId="9" borderId="0" xfId="0" applyNumberFormat="1" applyFont="1" applyFill="1"/>
    <xf numFmtId="0" fontId="0" fillId="9" borderId="0" xfId="0" applyNumberFormat="1" applyFill="1"/>
    <xf numFmtId="0" fontId="0" fillId="10" borderId="0" xfId="0" applyNumberFormat="1" applyFill="1"/>
  </cellXfs>
  <cellStyles count="4">
    <cellStyle name="Comma" xfId="1" builtinId="3"/>
    <cellStyle name="Hyperlink" xfId="3" builtinId="8"/>
    <cellStyle name="Normal" xfId="0" builtinId="0"/>
    <cellStyle name="Normal 2" xfId="2" xr:uid="{00000000-0005-0000-0000-000003000000}"/>
  </cellStyles>
  <dxfs count="0"/>
  <tableStyles count="0" defaultTableStyle="TableStyleMedium9" defaultPivotStyle="PivotStyleMedium4"/>
  <colors>
    <mruColors>
      <color rgb="FFFFFFCC"/>
      <color rgb="FFFF99FF"/>
      <color rgb="FFFF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6</xdr:row>
          <xdr:rowOff>83820</xdr:rowOff>
        </xdr:from>
        <xdr:to>
          <xdr:col>1</xdr:col>
          <xdr:colOff>2034540</xdr:colOff>
          <xdr:row>9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html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121920</xdr:rowOff>
        </xdr:from>
        <xdr:to>
          <xdr:col>1</xdr:col>
          <xdr:colOff>2065020</xdr:colOff>
          <xdr:row>12</xdr:row>
          <xdr:rowOff>53340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12</xdr:row>
          <xdr:rowOff>160020</xdr:rowOff>
        </xdr:from>
        <xdr:to>
          <xdr:col>1</xdr:col>
          <xdr:colOff>2065020</xdr:colOff>
          <xdr:row>15</xdr:row>
          <xdr:rowOff>99060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collage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xxxx.org/aliorders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A1:AJ3"/>
  <sheetViews>
    <sheetView tabSelected="1" zoomScale="85" zoomScaleNormal="85" workbookViewId="0">
      <pane xSplit="2" ySplit="1" topLeftCell="R2" activePane="bottomRight" state="frozen"/>
      <selection activeCell="I411" activeCellId="21" sqref="I157 I159 I215 I219 I222 I240 I243 I248 I249 I281 I306 I312 I342 I345 I346 I355 I365 I372 I383 I385 I393 I411"/>
      <selection pane="topRight" activeCell="I411" activeCellId="21" sqref="I157 I159 I215 I219 I222 I240 I243 I248 I249 I281 I306 I312 I342 I345 I346 I355 I365 I372 I383 I385 I393 I411"/>
      <selection pane="bottomLeft" activeCell="I411" activeCellId="21" sqref="I157 I159 I215 I219 I222 I240 I243 I248 I249 I281 I306 I312 I342 I345 I346 I355 I365 I372 I383 I385 I393 I411"/>
      <selection pane="bottomRight" activeCell="R18" sqref="R18"/>
    </sheetView>
  </sheetViews>
  <sheetFormatPr defaultRowHeight="15.6" x14ac:dyDescent="0.3"/>
  <cols>
    <col min="1" max="1" width="19.19921875" style="10" customWidth="1"/>
    <col min="2" max="2" width="16.09765625" style="14" bestFit="1" customWidth="1"/>
    <col min="3" max="3" width="10.8984375" style="1" customWidth="1"/>
    <col min="4" max="4" width="16.09765625" customWidth="1"/>
    <col min="5" max="5" width="28.8984375" customWidth="1"/>
    <col min="6" max="6" width="9.8984375" bestFit="1" customWidth="1"/>
    <col min="7" max="7" width="7.59765625" customWidth="1"/>
    <col min="8" max="8" width="4.69921875" customWidth="1"/>
    <col min="9" max="9" width="17.19921875" style="10" customWidth="1"/>
    <col min="10" max="10" width="54.09765625" customWidth="1"/>
    <col min="11" max="11" width="9.69921875" customWidth="1"/>
    <col min="12" max="12" width="22.59765625" bestFit="1" customWidth="1"/>
    <col min="13" max="13" width="6" customWidth="1"/>
    <col min="14" max="14" width="9" customWidth="1"/>
    <col min="15" max="15" width="26" customWidth="1"/>
    <col min="16" max="16" width="13.09765625" customWidth="1"/>
    <col min="17" max="17" width="19.19921875" customWidth="1"/>
    <col min="18" max="18" width="19.5" customWidth="1"/>
    <col min="19" max="20" width="17.59765625" customWidth="1"/>
    <col min="21" max="21" width="10.69921875" style="6" bestFit="1" customWidth="1"/>
    <col min="22" max="22" width="25.09765625" customWidth="1"/>
    <col min="23" max="23" width="16.59765625" bestFit="1" customWidth="1"/>
    <col min="24" max="24" width="20.09765625" bestFit="1" customWidth="1"/>
    <col min="25" max="25" width="13.3984375" bestFit="1" customWidth="1"/>
    <col min="26" max="36" width="14.796875" customWidth="1"/>
  </cols>
  <sheetData>
    <row r="1" spans="1:36" x14ac:dyDescent="0.3">
      <c r="A1" s="12" t="s">
        <v>2</v>
      </c>
      <c r="B1" s="13" t="s">
        <v>26</v>
      </c>
      <c r="C1" s="5" t="s">
        <v>24</v>
      </c>
      <c r="D1" s="2" t="s">
        <v>4</v>
      </c>
      <c r="E1" s="2" t="s">
        <v>25</v>
      </c>
      <c r="F1" s="2" t="s">
        <v>27</v>
      </c>
      <c r="G1" s="2" t="s">
        <v>28</v>
      </c>
      <c r="H1" s="2" t="s">
        <v>29</v>
      </c>
      <c r="I1" s="11" t="s">
        <v>30</v>
      </c>
      <c r="J1" s="2" t="s">
        <v>31</v>
      </c>
      <c r="K1" s="2" t="s">
        <v>32</v>
      </c>
      <c r="L1" s="2" t="s">
        <v>33</v>
      </c>
      <c r="M1" s="2" t="s">
        <v>34</v>
      </c>
      <c r="N1" s="2" t="s">
        <v>35</v>
      </c>
      <c r="O1" s="2" t="s">
        <v>36</v>
      </c>
      <c r="P1" s="2" t="s">
        <v>37</v>
      </c>
      <c r="Q1" s="2" t="s">
        <v>38</v>
      </c>
      <c r="R1" s="2" t="s">
        <v>39</v>
      </c>
      <c r="S1" s="2" t="s">
        <v>23</v>
      </c>
      <c r="T1" s="2" t="s">
        <v>84</v>
      </c>
      <c r="U1" s="8" t="s">
        <v>86</v>
      </c>
      <c r="V1" s="7" t="s">
        <v>7</v>
      </c>
      <c r="W1" s="31" t="s">
        <v>81</v>
      </c>
      <c r="X1" s="31" t="s">
        <v>82</v>
      </c>
      <c r="Y1" s="31" t="s">
        <v>83</v>
      </c>
      <c r="Z1" s="29" t="s">
        <v>8</v>
      </c>
      <c r="AA1" s="30" t="s">
        <v>6</v>
      </c>
      <c r="AB1" s="30" t="s">
        <v>12</v>
      </c>
      <c r="AC1" s="30" t="s">
        <v>3</v>
      </c>
      <c r="AD1" s="30" t="s">
        <v>5</v>
      </c>
      <c r="AE1" s="30" t="s">
        <v>9</v>
      </c>
      <c r="AF1" s="30" t="s">
        <v>42</v>
      </c>
      <c r="AG1" s="30" t="s">
        <v>10</v>
      </c>
      <c r="AH1" s="30" t="s">
        <v>11</v>
      </c>
      <c r="AI1" s="30" t="s">
        <v>4</v>
      </c>
      <c r="AJ1" s="30" t="s">
        <v>43</v>
      </c>
    </row>
    <row r="2" spans="1:36" x14ac:dyDescent="0.3">
      <c r="A2" s="10" t="s">
        <v>87</v>
      </c>
      <c r="B2" s="14">
        <v>43744.581944444442</v>
      </c>
      <c r="C2" s="1">
        <v>3.83</v>
      </c>
      <c r="D2" s="18" t="s">
        <v>0</v>
      </c>
      <c r="E2" s="19" t="s">
        <v>56</v>
      </c>
      <c r="F2" s="19" t="s">
        <v>57</v>
      </c>
      <c r="G2" s="19" t="b">
        <v>1</v>
      </c>
      <c r="H2" s="19">
        <v>1</v>
      </c>
      <c r="I2" s="10" t="s">
        <v>58</v>
      </c>
      <c r="J2" s="19" t="s">
        <v>59</v>
      </c>
      <c r="K2" s="19" t="s">
        <v>60</v>
      </c>
      <c r="L2" s="19" t="s">
        <v>61</v>
      </c>
      <c r="M2" s="19">
        <v>2</v>
      </c>
      <c r="N2" s="1">
        <v>0.51</v>
      </c>
      <c r="O2" s="19"/>
      <c r="P2" s="19" t="s">
        <v>62</v>
      </c>
      <c r="Q2" s="19" t="s">
        <v>63</v>
      </c>
      <c r="R2" s="19" t="s">
        <v>64</v>
      </c>
      <c r="S2" s="19" t="s">
        <v>65</v>
      </c>
      <c r="T2" s="19"/>
      <c r="U2" s="9" t="b">
        <f>OR(D2="Awaiting delivery",AND(ISNA(MATCH(A2,exclude!$A:$A,0)),O2&lt;&gt;"Order Cancelled",O2&lt;&gt;"Cancelled Order"))</f>
        <v>1</v>
      </c>
      <c r="V2" t="str">
        <f t="shared" ref="V2:V3" si="0">"&lt;tr&gt;" &amp; CHAR(10) &amp; CHAR(9) &amp; $Z2 &amp; CHAR(10) &amp; CHAR(9) &amp; $AA2 &amp; CHAR(10) &amp; CHAR(9) &amp; $AB2 &amp; CHAR(10) &amp; CHAR(9) &amp; $AC2 &amp; CHAR(10) &amp; CHAR(9) &amp; $AD2 &amp; CHAR(10) &amp; CHAR(9) &amp; $AE2 &amp; CHAR(10) &amp; CHAR(9) &amp; $AF2 &amp; CHAR(10) &amp; CHAR(9) &amp; $AG2 &amp; CHAR(10) &amp; CHAR(9) &amp; $AH2 &amp; CHAR(10) &amp; CHAR(9) &amp; $AI2 &amp; CHAR(10) &amp; CHAR(9) &amp; $AJ2 &amp; CHAR(10) &amp; "&lt;/tr&gt;"</f>
        <v>&lt;tr&gt;
	&lt;td&gt;&lt;a href='https://trade.aliexpress.com/order_detail.htm?orderId=3006227000741784' target='_blank'&gt;3006227000741784&lt;/a&gt;&lt;/td&gt;
	&lt;td&gt;2019-10-06&lt;/td&gt;
	&lt;td&gt;&lt;a href='https://www.aliexpress.com/store/718232' target='_blank'&gt;&amp;euro; 3,83&lt;/a&gt;&lt;/td&gt;
	&lt;td&gt;1&lt;/td&gt;
	&lt;td&gt;2x A4988 Red&lt;/td&gt;
	&lt;td&gt;&lt;a href='https://www.aliexpress.com/snapshot/0.html?orderId=3006227000772855&amp;productId=32965199683' target='Tab3006227000741784'&gt;&lt;img src='https://ae01.alicdn.com/kf/Ue25e39036d674453b2b888bea6e03e55S.jpg_220x220q90.jpg' height='80' width='80'\ alt='32965199683'&gt;&lt;/a&gt;&lt;/td&gt;
	&lt;td&gt;Motor&lt;/td&gt;
	&lt;td&gt;&amp;euro; 0,51&lt;/td&gt;
	&lt;td class='text-warning'&gt;3D Printer Parts A4988 DRV8825 Stepper Motor Driver With Heat sink For SKR V1.3 1.4 GTR V1.0 RAMPS 1.4 1.6 MKS GEN V1.4 board&lt;/td&gt;
	&lt;td&gt;Awaiting delivery&lt;/td&gt;
	&lt;td&gt;32965199683 - sku_3006227000772855_201336455_self - A4988 Red&lt;/td&gt;
&lt;/tr&gt;</v>
      </c>
      <c r="W2">
        <f t="shared" ref="W2:W3" si="1">YEAR(B2)*100+MONTH(B2)</f>
        <v>201910</v>
      </c>
      <c r="X2" s="1">
        <f t="shared" ref="X2:X3" si="2">ROUND(N2*M2,2)</f>
        <v>1.02</v>
      </c>
      <c r="Y2" s="1">
        <f t="shared" ref="Y2:Y3" si="3">ROUND(X2-C2,2)</f>
        <v>-2.81</v>
      </c>
      <c r="Z2" t="str">
        <f t="shared" ref="Z2:Z3" si="4">"&lt;td&gt;" &amp; IF($H2=1,"&lt;a href='https://trade.aliexpress.com/order_detail.htm?orderId=" &amp; $A2 &amp; "' target='_blank'&gt;"&amp;$A2&amp;"&lt;/a&gt;",$A2) &amp;"&lt;/td&gt;"</f>
        <v>&lt;td&gt;&lt;a href='https://trade.aliexpress.com/order_detail.htm?orderId=3006227000741784' target='_blank'&gt;3006227000741784&lt;/a&gt;&lt;/td&gt;</v>
      </c>
      <c r="AA2" t="str">
        <f t="shared" ref="AA2:AA3" si="5">"&lt;td&gt;" &amp; TEXT($B2,"jjjj-mm-dd") &amp; "&lt;/td&gt;"</f>
        <v>&lt;td&gt;2019-10-06&lt;/td&gt;</v>
      </c>
      <c r="AB2" t="str">
        <f t="shared" ref="AB2:AB3" si="6">"&lt;td&gt;" &amp; IF($H2=1,"&lt;a href='" &amp; $F2 &amp; "' target='_blank'&gt;&amp;euro; " &amp; TEXT($C2,"#.##0,00") &amp; "&lt;/a&gt;","") &amp; "&lt;/td&gt;"</f>
        <v>&lt;td&gt;&lt;a href='https://www.aliexpress.com/store/718232' target='_blank'&gt;&amp;euro; 3,83&lt;/a&gt;&lt;/td&gt;</v>
      </c>
      <c r="AC2" t="str">
        <f t="shared" ref="AC2:AC3" si="7">"&lt;td&gt;" &amp; $H2 &amp;"&lt;/td&gt;"</f>
        <v>&lt;td&gt;1&lt;/td&gt;</v>
      </c>
      <c r="AD2" t="str">
        <f>"&lt;td&gt;" &amp; TEXT($M2,"#.##0") &amp; "x " &amp; HTMLEncode($L2) &amp; "&lt;/td&gt;"</f>
        <v>&lt;td&gt;2x A4988 Red&lt;/td&gt;</v>
      </c>
      <c r="AE2" t="str">
        <f t="shared" ref="AE2:AE3" si="8">"&lt;td&gt;&lt;a href='" &amp; $R2 &amp; "' target='Tab" &amp; A2 &amp; "'&gt;&lt;img src='" &amp; SUBSTITUTE($Q2,"_50x50.jpg","_220x220q90.jpg") &amp; "' height='80' width='80'\ alt='" &amp; I2 &amp; "'&gt;&lt;/a&gt;&lt;/td&gt;"</f>
        <v>&lt;td&gt;&lt;a href='https://www.aliexpress.com/snapshot/0.html?orderId=3006227000772855&amp;productId=32965199683' target='Tab3006227000741784'&gt;&lt;img src='https://ae01.alicdn.com/kf/Ue25e39036d674453b2b888bea6e03e55S.jpg_220x220q90.jpg' height='80' width='80'\ alt='32965199683'&gt;&lt;/a&gt;&lt;/td&gt;</v>
      </c>
      <c r="AF2" t="str">
        <f>"&lt;td&gt;" &amp; _xlfn.IFNA(VLOOKUP($I2,bins!$A:$B,2,FALSE),"") &amp; "&lt;/td&gt;"</f>
        <v>&lt;td&gt;Motor&lt;/td&gt;</v>
      </c>
      <c r="AG2" t="str">
        <f t="shared" ref="AG2:AG3" si="9">"&lt;td&gt;" &amp; IF($H2&gt;0,"&amp;euro; " &amp; TEXT($N2,"#.##0,00"),"") &amp; "&lt;/td&gt;"</f>
        <v>&lt;td&gt;&amp;euro; 0,51&lt;/td&gt;</v>
      </c>
      <c r="AH2" t="str">
        <f>INDEX(helpsheet!$A$1:$A$7,MATCH($AI2,helpsheet!$B$1:$B$7,0),1) &amp; HTMLEncode($J2) &amp; "&lt;/td&gt;"</f>
        <v>&lt;td class='text-warning'&gt;3D Printer Parts A4988 DRV8825 Stepper Motor Driver With Heat sink For SKR V1.3 1.4 GTR V1.0 RAMPS 1.4 1.6 MKS GEN V1.4 board&lt;/td&gt;</v>
      </c>
      <c r="AI2" t="str">
        <f t="shared" ref="AI2:AI3" si="10">"&lt;td&gt;" &amp; $D2 &amp; IF(AND($D2="Finished",NOT(LEFT($O2,12)="Confirmation"))," dispute","") &amp; "&lt;/td&gt;"</f>
        <v>&lt;td&gt;Awaiting delivery&lt;/td&gt;</v>
      </c>
      <c r="AJ2" t="str">
        <f t="shared" ref="AJ2:AJ3" si="11">"&lt;td&gt;" &amp; $I2 &amp; IF(ISBLANK($K2),""," - " &amp; $K2) &amp; IF(ISBLANK($L2),""," - " &amp; $L2) &amp; "&lt;/td&gt;"</f>
        <v>&lt;td&gt;32965199683 - sku_3006227000772855_201336455_self - A4988 Red&lt;/td&gt;</v>
      </c>
    </row>
    <row r="3" spans="1:36" x14ac:dyDescent="0.3">
      <c r="A3" s="10" t="s">
        <v>53</v>
      </c>
      <c r="B3" s="14">
        <v>43731.956944444442</v>
      </c>
      <c r="C3" s="1">
        <v>1.63</v>
      </c>
      <c r="D3" s="18" t="s">
        <v>1</v>
      </c>
      <c r="E3" s="19" t="s">
        <v>48</v>
      </c>
      <c r="F3" s="19" t="s">
        <v>40</v>
      </c>
      <c r="G3" s="19" t="b">
        <v>1</v>
      </c>
      <c r="H3" s="19">
        <v>1</v>
      </c>
      <c r="I3" s="10" t="s">
        <v>49</v>
      </c>
      <c r="J3" s="19" t="s">
        <v>50</v>
      </c>
      <c r="K3" s="19"/>
      <c r="L3" s="19"/>
      <c r="M3" s="19">
        <v>1</v>
      </c>
      <c r="N3" s="1">
        <v>1.67</v>
      </c>
      <c r="O3" s="19" t="s">
        <v>13</v>
      </c>
      <c r="P3" s="19" t="s">
        <v>51</v>
      </c>
      <c r="Q3" s="19" t="s">
        <v>52</v>
      </c>
      <c r="R3" s="19" t="s">
        <v>54</v>
      </c>
      <c r="S3" s="19" t="s">
        <v>55</v>
      </c>
      <c r="T3" s="19"/>
      <c r="U3" s="9" t="b">
        <f>OR(D3="Awaiting delivery",AND(ISNA(MATCH(A3,exclude!$A:$A,0)),O3&lt;&gt;"Order Cancelled",O3&lt;&gt;"Cancelled Order"))</f>
        <v>0</v>
      </c>
      <c r="V3" t="str">
        <f t="shared" si="0"/>
        <v>&lt;tr&gt;
	&lt;td&gt;&lt;a href='https://trade.aliexpress.com/order_detail.htm?orderId=3005985118762855' target='_blank'&gt;3005985118762855&lt;/a&gt;&lt;/td&gt;
	&lt;td&gt;2019-09-23&lt;/td&gt;
	&lt;td&gt;&lt;a href='https://www.aliexpress.com/store/1962508' target='_blank'&gt;&amp;euro; 1,63&lt;/a&gt;&lt;/td&gt;
	&lt;td&gt;1&lt;/td&gt;
	&lt;td&gt;1x &lt;/td&gt;
	&lt;td&gt;&lt;a href='https://www.aliexpress.com/snapshot/0.html?orderId=3005985118772855&amp;productId=32812476561' target='Tab3005985118762855'&gt;&lt;img src='https://ae01.alicdn.com/kf/Uf709572681cd4e4a8ca5f2b5bc119daeQ.jpg_220x220q90.jpg' height='80' width='80'\ alt='32812476561'&gt;&lt;/a&gt;&lt;/td&gt;
	&lt;td&gt;Levers&lt;/td&gt;
	&lt;td&gt;&amp;euro; 1,67&lt;/td&gt;
	&lt;td class='text-success'&gt;20pcs/lot New Micro Roller Lever Arm Normally Open Close Limit Switch KW12-3 Free Shipping&lt;/td&gt;
	&lt;td&gt;Finished&lt;/td&gt;
	&lt;td&gt;32812476561&lt;/td&gt;
&lt;/tr&gt;</v>
      </c>
      <c r="W3">
        <f t="shared" si="1"/>
        <v>201909</v>
      </c>
      <c r="X3" s="1">
        <f t="shared" si="2"/>
        <v>1.67</v>
      </c>
      <c r="Y3" s="1">
        <f t="shared" si="3"/>
        <v>0.04</v>
      </c>
      <c r="Z3" t="str">
        <f t="shared" si="4"/>
        <v>&lt;td&gt;&lt;a href='https://trade.aliexpress.com/order_detail.htm?orderId=3005985118762855' target='_blank'&gt;3005985118762855&lt;/a&gt;&lt;/td&gt;</v>
      </c>
      <c r="AA3" t="str">
        <f t="shared" si="5"/>
        <v>&lt;td&gt;2019-09-23&lt;/td&gt;</v>
      </c>
      <c r="AB3" t="str">
        <f t="shared" si="6"/>
        <v>&lt;td&gt;&lt;a href='https://www.aliexpress.com/store/1962508' target='_blank'&gt;&amp;euro; 1,63&lt;/a&gt;&lt;/td&gt;</v>
      </c>
      <c r="AC3" t="str">
        <f t="shared" si="7"/>
        <v>&lt;td&gt;1&lt;/td&gt;</v>
      </c>
      <c r="AD3" t="str">
        <f t="shared" ref="AD3" si="12">"&lt;td&gt;" &amp; TEXT($M3,"#.##0") &amp; "x " &amp; HTMLEncode($L3) &amp; "&lt;/td&gt;"</f>
        <v>&lt;td&gt;1x &lt;/td&gt;</v>
      </c>
      <c r="AE3" t="str">
        <f t="shared" si="8"/>
        <v>&lt;td&gt;&lt;a href='https://www.aliexpress.com/snapshot/0.html?orderId=3005985118772855&amp;productId=32812476561' target='Tab3005985118762855'&gt;&lt;img src='https://ae01.alicdn.com/kf/Uf709572681cd4e4a8ca5f2b5bc119daeQ.jpg_220x220q90.jpg' height='80' width='80'\ alt='32812476561'&gt;&lt;/a&gt;&lt;/td&gt;</v>
      </c>
      <c r="AF3" t="str">
        <f>"&lt;td&gt;" &amp; _xlfn.IFNA(VLOOKUP($I3,bins!$A:$B,2,FALSE),"") &amp; "&lt;/td&gt;"</f>
        <v>&lt;td&gt;Levers&lt;/td&gt;</v>
      </c>
      <c r="AG3" t="str">
        <f t="shared" si="9"/>
        <v>&lt;td&gt;&amp;euro; 1,67&lt;/td&gt;</v>
      </c>
      <c r="AH3" t="str">
        <f>INDEX(helpsheet!$A$1:$A$7,MATCH($AI3,helpsheet!$B$1:$B$7,0),1) &amp; HTMLEncode($J3) &amp; "&lt;/td&gt;"</f>
        <v>&lt;td class='text-success'&gt;20pcs/lot New Micro Roller Lever Arm Normally Open Close Limit Switch KW12-3 Free Shipping&lt;/td&gt;</v>
      </c>
      <c r="AI3" t="str">
        <f t="shared" si="10"/>
        <v>&lt;td&gt;Finished&lt;/td&gt;</v>
      </c>
      <c r="AJ3" t="str">
        <f t="shared" si="11"/>
        <v>&lt;td&gt;32812476561&lt;/td&gt;</v>
      </c>
    </row>
  </sheetData>
  <autoFilter ref="A1:AJ3" xr:uid="{00000000-0009-0000-0000-000000000000}"/>
  <sortState xmlns:xlrd2="http://schemas.microsoft.com/office/spreadsheetml/2017/richdata2" ref="A1:AM3">
    <sortCondition descending="1" ref="AA1:AA3"/>
    <sortCondition descending="1" ref="A1:A3"/>
    <sortCondition ref="H1:H3"/>
  </sortState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C16"/>
  <sheetViews>
    <sheetView workbookViewId="0">
      <selection activeCell="C11" sqref="C11"/>
    </sheetView>
  </sheetViews>
  <sheetFormatPr defaultRowHeight="15.6" x14ac:dyDescent="0.3"/>
  <cols>
    <col min="1" max="1" width="9.5" bestFit="1" customWidth="1"/>
    <col min="2" max="2" width="27.19921875" bestFit="1" customWidth="1"/>
    <col min="3" max="3" width="43.69921875" bestFit="1" customWidth="1"/>
  </cols>
  <sheetData>
    <row r="1" spans="1:3" ht="21" x14ac:dyDescent="0.4">
      <c r="A1" s="21" t="s">
        <v>73</v>
      </c>
    </row>
    <row r="2" spans="1:3" x14ac:dyDescent="0.3">
      <c r="A2" t="s">
        <v>74</v>
      </c>
    </row>
    <row r="3" spans="1:3" x14ac:dyDescent="0.3">
      <c r="A3" s="23" t="s">
        <v>66</v>
      </c>
      <c r="B3" s="3" t="s">
        <v>67</v>
      </c>
      <c r="C3" t="s">
        <v>70</v>
      </c>
    </row>
    <row r="4" spans="1:3" x14ac:dyDescent="0.3">
      <c r="A4" s="23" t="s">
        <v>85</v>
      </c>
      <c r="B4" s="22" t="s">
        <v>68</v>
      </c>
      <c r="C4" t="s">
        <v>69</v>
      </c>
    </row>
    <row r="5" spans="1:3" x14ac:dyDescent="0.3">
      <c r="A5" s="23" t="s">
        <v>71</v>
      </c>
      <c r="B5" s="3" t="s">
        <v>91</v>
      </c>
      <c r="C5" t="s">
        <v>72</v>
      </c>
    </row>
    <row r="6" spans="1:3" x14ac:dyDescent="0.3">
      <c r="A6" s="20"/>
      <c r="B6" s="16"/>
    </row>
    <row r="7" spans="1:3" x14ac:dyDescent="0.3">
      <c r="A7" s="20"/>
    </row>
    <row r="8" spans="1:3" x14ac:dyDescent="0.3">
      <c r="A8" s="20"/>
    </row>
    <row r="9" spans="1:3" x14ac:dyDescent="0.3">
      <c r="A9" s="20"/>
    </row>
    <row r="10" spans="1:3" x14ac:dyDescent="0.3">
      <c r="A10" s="20"/>
    </row>
    <row r="11" spans="1:3" x14ac:dyDescent="0.3">
      <c r="A11" s="20"/>
    </row>
    <row r="12" spans="1:3" x14ac:dyDescent="0.3">
      <c r="A12" s="20"/>
    </row>
    <row r="13" spans="1:3" x14ac:dyDescent="0.3">
      <c r="A13" s="20"/>
    </row>
    <row r="14" spans="1:3" x14ac:dyDescent="0.3">
      <c r="A14" s="20"/>
    </row>
    <row r="15" spans="1:3" x14ac:dyDescent="0.3">
      <c r="A15" s="20"/>
    </row>
    <row r="16" spans="1:3" x14ac:dyDescent="0.3">
      <c r="A16" s="20"/>
    </row>
  </sheetData>
  <hyperlinks>
    <hyperlink ref="B4" r:id="rId1" xr:uid="{A1980458-4523-4D2F-B312-6A34AA238941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ExportDataToHTML">
                <anchor moveWithCells="1" sizeWithCells="1">
                  <from>
                    <xdr:col>1</xdr:col>
                    <xdr:colOff>15240</xdr:colOff>
                    <xdr:row>6</xdr:row>
                    <xdr:rowOff>83820</xdr:rowOff>
                  </from>
                  <to>
                    <xdr:col>1</xdr:col>
                    <xdr:colOff>2034540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DownloadImages">
                <anchor moveWithCells="1" sizeWithCells="1">
                  <from>
                    <xdr:col>1</xdr:col>
                    <xdr:colOff>22860</xdr:colOff>
                    <xdr:row>9</xdr:row>
                    <xdr:rowOff>121920</xdr:rowOff>
                  </from>
                  <to>
                    <xdr:col>1</xdr:col>
                    <xdr:colOff>2065020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akeCollage">
                <anchor moveWithCells="1" sizeWithCells="1">
                  <from>
                    <xdr:col>1</xdr:col>
                    <xdr:colOff>45720</xdr:colOff>
                    <xdr:row>12</xdr:row>
                    <xdr:rowOff>160020</xdr:rowOff>
                  </from>
                  <to>
                    <xdr:col>1</xdr:col>
                    <xdr:colOff>2065020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E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defaultRowHeight="15.6" x14ac:dyDescent="0.3"/>
  <cols>
    <col min="1" max="1" width="14.8984375" customWidth="1"/>
    <col min="2" max="2" width="14.69921875" customWidth="1"/>
    <col min="3" max="3" width="125" bestFit="1" customWidth="1"/>
  </cols>
  <sheetData>
    <row r="1" spans="1:5" ht="21" x14ac:dyDescent="0.4">
      <c r="A1" s="21" t="s">
        <v>76</v>
      </c>
    </row>
    <row r="2" spans="1:5" x14ac:dyDescent="0.3">
      <c r="A2" t="s">
        <v>77</v>
      </c>
    </row>
    <row r="4" spans="1:5" x14ac:dyDescent="0.3">
      <c r="A4" s="2" t="s">
        <v>30</v>
      </c>
      <c r="B4" s="2" t="s">
        <v>42</v>
      </c>
      <c r="C4" s="2" t="s">
        <v>31</v>
      </c>
      <c r="D4" s="2" t="s">
        <v>46</v>
      </c>
      <c r="E4" s="2" t="s">
        <v>75</v>
      </c>
    </row>
    <row r="5" spans="1:5" x14ac:dyDescent="0.3">
      <c r="A5" s="24" t="s">
        <v>58</v>
      </c>
      <c r="B5" s="3" t="s">
        <v>88</v>
      </c>
      <c r="C5" s="25" t="str">
        <f>VLOOKUP(A5,Orders!$I:$J,2,FALSE)</f>
        <v>3D Printer Parts A4988 DRV8825 Stepper Motor Driver With Heat sink For SKR V1.3 1.4 GTR V1.0 RAMPS 1.4 1.6 MKS GEN V1.4 board</v>
      </c>
      <c r="D5" s="25">
        <f>MATCH($A5,Orders!$I:$I,0)</f>
        <v>2</v>
      </c>
    </row>
    <row r="6" spans="1:5" x14ac:dyDescent="0.3">
      <c r="A6" s="24" t="s">
        <v>49</v>
      </c>
      <c r="B6" s="3" t="s">
        <v>89</v>
      </c>
      <c r="C6" s="25" t="str">
        <f>VLOOKUP(A6,Orders!$I:$J,2,FALSE)</f>
        <v>20pcs/lot New Micro Roller Lever Arm Normally Open Close Limit Switch KW12-3 Free Shipping</v>
      </c>
      <c r="D6" s="25">
        <f>MATCH($A6,Orders!$I:$I,0)</f>
        <v>3</v>
      </c>
    </row>
  </sheetData>
  <autoFilter ref="A4:E6" xr:uid="{00000000-0009-0000-0000-000002000000}">
    <sortState xmlns:xlrd2="http://schemas.microsoft.com/office/spreadsheetml/2017/richdata2" ref="A5:E6">
      <sortCondition ref="D5:D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0619-CFF7-4845-9930-DF81B6E00867}">
  <sheetPr codeName="Sheet5">
    <tabColor rgb="FF00B0F0"/>
  </sheetPr>
  <dimension ref="A1:D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3" sqref="B13"/>
    </sheetView>
  </sheetViews>
  <sheetFormatPr defaultRowHeight="15.6" x14ac:dyDescent="0.3"/>
  <cols>
    <col min="1" max="1" width="17.19921875" style="15" bestFit="1" customWidth="1"/>
    <col min="2" max="2" width="16.19921875" style="4" customWidth="1"/>
    <col min="3" max="3" width="11.3984375" style="4" customWidth="1"/>
    <col min="4" max="4" width="19.09765625" customWidth="1"/>
  </cols>
  <sheetData>
    <row r="1" spans="1:4" ht="21" x14ac:dyDescent="0.4">
      <c r="A1" s="21" t="s">
        <v>78</v>
      </c>
    </row>
    <row r="2" spans="1:4" x14ac:dyDescent="0.3">
      <c r="A2" t="s">
        <v>79</v>
      </c>
    </row>
    <row r="4" spans="1:4" x14ac:dyDescent="0.3">
      <c r="A4" s="2" t="s">
        <v>2</v>
      </c>
      <c r="B4" s="26" t="s">
        <v>45</v>
      </c>
      <c r="C4" s="26" t="s">
        <v>41</v>
      </c>
      <c r="D4" s="2" t="s">
        <v>80</v>
      </c>
    </row>
    <row r="5" spans="1:4" x14ac:dyDescent="0.3">
      <c r="A5" s="27" t="s">
        <v>53</v>
      </c>
      <c r="B5" s="28"/>
      <c r="C5" s="28"/>
      <c r="D5" s="3" t="s">
        <v>90</v>
      </c>
    </row>
    <row r="6" spans="1:4" x14ac:dyDescent="0.3">
      <c r="A6"/>
      <c r="B6"/>
      <c r="C6"/>
    </row>
    <row r="7" spans="1:4" x14ac:dyDescent="0.3">
      <c r="A7"/>
      <c r="B7"/>
      <c r="C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B0F0"/>
  </sheetPr>
  <dimension ref="A1:G22"/>
  <sheetViews>
    <sheetView showGridLines="0" showRowColHeaders="0" zoomScale="160" zoomScaleNormal="160" workbookViewId="0"/>
  </sheetViews>
  <sheetFormatPr defaultRowHeight="15.6" x14ac:dyDescent="0.3"/>
  <sheetData>
    <row r="1" spans="1:7" x14ac:dyDescent="0.3">
      <c r="A1" s="17"/>
      <c r="B1" s="17"/>
      <c r="C1" s="17"/>
      <c r="D1" s="17"/>
      <c r="E1" s="17"/>
      <c r="F1" s="17"/>
      <c r="G1" s="17"/>
    </row>
    <row r="2" spans="1:7" x14ac:dyDescent="0.3">
      <c r="A2" s="17"/>
      <c r="B2" s="17"/>
      <c r="C2" s="17"/>
      <c r="D2" s="17"/>
      <c r="E2" s="17"/>
      <c r="F2" s="17"/>
      <c r="G2" s="17"/>
    </row>
    <row r="3" spans="1:7" x14ac:dyDescent="0.3">
      <c r="A3" s="17"/>
      <c r="B3" s="17"/>
      <c r="C3" s="17"/>
      <c r="D3" s="17"/>
      <c r="E3" s="17"/>
      <c r="F3" s="17"/>
      <c r="G3" s="17"/>
    </row>
    <row r="4" spans="1:7" x14ac:dyDescent="0.3">
      <c r="A4" s="17"/>
      <c r="B4" s="17"/>
      <c r="C4" s="17"/>
      <c r="D4" s="17"/>
      <c r="E4" s="17"/>
      <c r="F4" s="17"/>
      <c r="G4" s="17"/>
    </row>
    <row r="5" spans="1:7" x14ac:dyDescent="0.3">
      <c r="A5" s="17"/>
      <c r="B5" s="17"/>
      <c r="C5" s="17"/>
      <c r="D5" s="17"/>
      <c r="E5" s="17"/>
      <c r="F5" s="17"/>
      <c r="G5" s="17"/>
    </row>
    <row r="6" spans="1:7" x14ac:dyDescent="0.3">
      <c r="A6" s="17"/>
      <c r="B6" s="17"/>
      <c r="C6" s="17"/>
      <c r="D6" s="17"/>
      <c r="E6" s="17"/>
      <c r="F6" s="17"/>
      <c r="G6" s="17"/>
    </row>
    <row r="7" spans="1:7" x14ac:dyDescent="0.3">
      <c r="A7" s="17"/>
      <c r="B7" s="17"/>
      <c r="C7" s="17"/>
      <c r="D7" s="17"/>
      <c r="E7" s="17"/>
      <c r="F7" s="17"/>
      <c r="G7" s="17"/>
    </row>
    <row r="8" spans="1:7" x14ac:dyDescent="0.3">
      <c r="A8" s="17"/>
      <c r="B8" s="17"/>
      <c r="C8" s="17"/>
      <c r="D8" s="17"/>
      <c r="E8" s="17"/>
      <c r="F8" s="17"/>
      <c r="G8" s="17"/>
    </row>
    <row r="9" spans="1:7" x14ac:dyDescent="0.3">
      <c r="A9" s="17"/>
      <c r="B9" s="17"/>
      <c r="C9" s="17"/>
      <c r="D9" s="17"/>
      <c r="E9" s="17"/>
      <c r="F9" s="17"/>
      <c r="G9" s="17"/>
    </row>
    <row r="10" spans="1:7" x14ac:dyDescent="0.3">
      <c r="A10" s="17"/>
      <c r="B10" s="17"/>
      <c r="C10" s="17"/>
      <c r="D10" s="17"/>
      <c r="E10" s="17"/>
      <c r="F10" s="17"/>
      <c r="G10" s="17"/>
    </row>
    <row r="11" spans="1:7" x14ac:dyDescent="0.3">
      <c r="A11" s="17"/>
      <c r="B11" s="17"/>
      <c r="C11" s="17"/>
      <c r="D11" s="17"/>
      <c r="E11" s="17"/>
      <c r="F11" s="17"/>
      <c r="G11" s="17"/>
    </row>
    <row r="12" spans="1:7" x14ac:dyDescent="0.3">
      <c r="A12" s="17"/>
      <c r="B12" s="17"/>
      <c r="C12" s="17"/>
      <c r="D12" s="17"/>
      <c r="E12" s="17"/>
      <c r="F12" s="17"/>
      <c r="G12" s="17"/>
    </row>
    <row r="13" spans="1:7" x14ac:dyDescent="0.3">
      <c r="A13" s="17"/>
      <c r="B13" s="17"/>
      <c r="C13" s="17"/>
      <c r="D13" s="17"/>
      <c r="E13" s="17"/>
      <c r="F13" s="17"/>
      <c r="G13" s="17"/>
    </row>
    <row r="14" spans="1:7" x14ac:dyDescent="0.3">
      <c r="A14" s="17"/>
      <c r="B14" s="17"/>
      <c r="C14" s="17"/>
      <c r="D14" s="17"/>
      <c r="E14" s="17"/>
      <c r="F14" s="17"/>
      <c r="G14" s="17"/>
    </row>
    <row r="15" spans="1:7" x14ac:dyDescent="0.3">
      <c r="A15" s="17"/>
      <c r="B15" s="17"/>
      <c r="C15" s="17"/>
      <c r="D15" s="17"/>
      <c r="E15" s="17"/>
      <c r="F15" s="17"/>
      <c r="G15" s="17"/>
    </row>
    <row r="16" spans="1:7" x14ac:dyDescent="0.3">
      <c r="A16" s="17"/>
      <c r="B16" s="17"/>
      <c r="C16" s="17"/>
      <c r="D16" s="17"/>
      <c r="E16" s="17"/>
      <c r="F16" s="17"/>
      <c r="G16" s="17"/>
    </row>
    <row r="17" spans="1:7" x14ac:dyDescent="0.3">
      <c r="A17" s="17"/>
      <c r="B17" s="17"/>
      <c r="C17" s="17"/>
      <c r="D17" s="17"/>
      <c r="E17" s="17"/>
      <c r="F17" s="17"/>
      <c r="G17" s="17"/>
    </row>
    <row r="18" spans="1:7" x14ac:dyDescent="0.3">
      <c r="A18" s="17"/>
      <c r="B18" s="17"/>
      <c r="C18" s="17"/>
      <c r="D18" s="17"/>
      <c r="E18" s="17"/>
      <c r="F18" s="17"/>
      <c r="G18" s="17"/>
    </row>
    <row r="19" spans="1:7" x14ac:dyDescent="0.3">
      <c r="A19" s="17"/>
      <c r="B19" s="17"/>
      <c r="C19" s="17"/>
      <c r="D19" s="17"/>
      <c r="E19" s="17"/>
      <c r="F19" s="17"/>
      <c r="G19" s="17"/>
    </row>
    <row r="20" spans="1:7" x14ac:dyDescent="0.3">
      <c r="A20" s="17"/>
      <c r="B20" s="17"/>
      <c r="C20" s="17"/>
      <c r="D20" s="17"/>
      <c r="E20" s="17"/>
      <c r="F20" s="17"/>
      <c r="G20" s="17"/>
    </row>
    <row r="21" spans="1:7" x14ac:dyDescent="0.3">
      <c r="A21" s="17"/>
      <c r="B21" s="17"/>
      <c r="C21" s="17"/>
      <c r="D21" s="17"/>
      <c r="E21" s="17"/>
      <c r="F21" s="17"/>
      <c r="G21" s="17"/>
    </row>
    <row r="22" spans="1:7" x14ac:dyDescent="0.3">
      <c r="A22" s="17"/>
      <c r="B22" s="17"/>
      <c r="C22" s="17"/>
      <c r="D22" s="17"/>
      <c r="E22" s="17"/>
      <c r="F22" s="17"/>
      <c r="G22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F0"/>
  </sheetPr>
  <dimension ref="A1:B8"/>
  <sheetViews>
    <sheetView workbookViewId="0"/>
  </sheetViews>
  <sheetFormatPr defaultRowHeight="15.6" x14ac:dyDescent="0.3"/>
  <cols>
    <col min="1" max="1" width="23.5" bestFit="1" customWidth="1"/>
    <col min="2" max="2" width="24.3984375" bestFit="1" customWidth="1"/>
  </cols>
  <sheetData>
    <row r="1" spans="1:2" x14ac:dyDescent="0.3">
      <c r="A1" s="3" t="s">
        <v>20</v>
      </c>
      <c r="B1" s="3" t="s">
        <v>14</v>
      </c>
    </row>
    <row r="2" spans="1:2" x14ac:dyDescent="0.3">
      <c r="A2" s="3" t="s">
        <v>19</v>
      </c>
      <c r="B2" s="3" t="s">
        <v>15</v>
      </c>
    </row>
    <row r="3" spans="1:2" x14ac:dyDescent="0.3">
      <c r="A3" s="3" t="s">
        <v>21</v>
      </c>
      <c r="B3" s="3" t="s">
        <v>16</v>
      </c>
    </row>
    <row r="4" spans="1:2" x14ac:dyDescent="0.3">
      <c r="A4" s="3" t="s">
        <v>21</v>
      </c>
      <c r="B4" s="3" t="s">
        <v>17</v>
      </c>
    </row>
    <row r="5" spans="1:2" x14ac:dyDescent="0.3">
      <c r="A5" s="3" t="s">
        <v>22</v>
      </c>
      <c r="B5" s="3" t="s">
        <v>44</v>
      </c>
    </row>
    <row r="6" spans="1:2" x14ac:dyDescent="0.3">
      <c r="A6" s="3" t="s">
        <v>22</v>
      </c>
      <c r="B6" s="3" t="s">
        <v>18</v>
      </c>
    </row>
    <row r="7" spans="1:2" x14ac:dyDescent="0.3">
      <c r="A7" s="3" t="s">
        <v>20</v>
      </c>
      <c r="B7" s="3" t="s">
        <v>47</v>
      </c>
    </row>
    <row r="8" spans="1:2" x14ac:dyDescent="0.3">
      <c r="B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Orders</vt:lpstr>
      <vt:lpstr>MACRO</vt:lpstr>
      <vt:lpstr>bins</vt:lpstr>
      <vt:lpstr>exclude</vt:lpstr>
      <vt:lpstr>pictures</vt:lpstr>
      <vt:lpstr>helpsheet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Blok12</dc:creator>
  <cp:lastModifiedBy>- -</cp:lastModifiedBy>
  <dcterms:created xsi:type="dcterms:W3CDTF">2018-09-06T20:16:02Z</dcterms:created>
  <dcterms:modified xsi:type="dcterms:W3CDTF">2020-10-17T15:42:03Z</dcterms:modified>
</cp:coreProperties>
</file>